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earning\ММДО-2021\LW7\"/>
    </mc:Choice>
  </mc:AlternateContent>
  <xr:revisionPtr revIDLastSave="0" documentId="13_ncr:1_{A7ADC829-4C62-414D-B832-FA1D3D8382C2}" xr6:coauthVersionLast="46" xr6:coauthVersionMax="46" xr10:uidLastSave="{00000000-0000-0000-0000-000000000000}"/>
  <bookViews>
    <workbookView xWindow="-120" yWindow="-120" windowWidth="19440" windowHeight="15000" activeTab="1" xr2:uid="{00000000-000D-0000-FFFF-FFFF00000000}"/>
  </bookViews>
  <sheets>
    <sheet name="LW7-example" sheetId="1" r:id="rId1"/>
    <sheet name="Шаблон" sheetId="2" r:id="rId2"/>
  </sheets>
  <definedNames>
    <definedName name="solver_adj" localSheetId="0" hidden="1">'LW7-example'!$A$2:$B$2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'LW7-example'!#REF!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'LW7-example'!$C$4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hs1" localSheetId="0" hidden="1">'LW7-example'!#REF!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B13" i="2" s="1"/>
  <c r="D37" i="2"/>
  <c r="B37" i="2" l="1"/>
  <c r="C12" i="2"/>
  <c r="C36" i="2" s="1"/>
  <c r="B17" i="2"/>
  <c r="B9" i="2"/>
  <c r="B4" i="1"/>
  <c r="A4" i="1"/>
  <c r="B12" i="2" l="1"/>
  <c r="C13" i="2"/>
  <c r="B19" i="2"/>
  <c r="C19" i="2" s="1"/>
  <c r="D13" i="2" s="1"/>
  <c r="B18" i="2"/>
  <c r="C4" i="1"/>
  <c r="C37" i="2" l="1"/>
  <c r="C21" i="2"/>
  <c r="C25" i="2" s="1"/>
  <c r="C35" i="2" s="1"/>
  <c r="C44" i="2" s="1"/>
  <c r="C48" i="2" s="1"/>
  <c r="B36" i="2"/>
  <c r="B41" i="2" s="1"/>
  <c r="B21" i="2"/>
  <c r="C17" i="2"/>
  <c r="D11" i="2" s="1"/>
  <c r="C18" i="2"/>
  <c r="D12" i="2" s="1"/>
  <c r="B25" i="2" l="1"/>
  <c r="B23" i="2"/>
  <c r="B42" i="2"/>
  <c r="C54" i="2"/>
  <c r="C41" i="2"/>
  <c r="D36" i="2" s="1"/>
  <c r="B35" i="2" l="1"/>
  <c r="B27" i="2"/>
  <c r="B30" i="2" l="1"/>
  <c r="B31" i="2" s="1"/>
  <c r="B32" i="2" s="1"/>
  <c r="B40" i="2"/>
  <c r="B44" i="2"/>
  <c r="B54" i="2" l="1"/>
  <c r="B46" i="2"/>
  <c r="B48" i="2"/>
  <c r="B50" i="2" s="1"/>
  <c r="C40" i="2"/>
  <c r="D35" i="2" s="1"/>
  <c r="B56" i="2" l="1"/>
  <c r="B59" i="2" s="1"/>
  <c r="B60" i="2" l="1"/>
  <c r="B61" i="2" s="1"/>
</calcChain>
</file>

<file path=xl/sharedStrings.xml><?xml version="1.0" encoding="utf-8"?>
<sst xmlns="http://schemas.openxmlformats.org/spreadsheetml/2006/main" count="78" uniqueCount="51">
  <si>
    <t>x1</t>
  </si>
  <si>
    <t>x2</t>
  </si>
  <si>
    <t>Цільова функція</t>
  </si>
  <si>
    <t>min</t>
  </si>
  <si>
    <t>n</t>
  </si>
  <si>
    <t>h</t>
  </si>
  <si>
    <t>A. Початковий симплекс</t>
  </si>
  <si>
    <t>Точки початкового симплекса</t>
  </si>
  <si>
    <t>Ітерація 1</t>
  </si>
  <si>
    <t>Б. Значення функції в точках початкового симплекса</t>
  </si>
  <si>
    <t>Значення функції в центрі тяжіння</t>
  </si>
  <si>
    <t>В. Центр тяжіння</t>
  </si>
  <si>
    <t>&gt;</t>
  </si>
  <si>
    <t>&lt;</t>
  </si>
  <si>
    <t>I. Перевірка збіжності</t>
  </si>
  <si>
    <t>приймаємо</t>
  </si>
  <si>
    <t>Збіжності не досягнуто, починаємо другу ітерацію і переходимо на крок Б</t>
  </si>
  <si>
    <t>Ітерація 2</t>
  </si>
  <si>
    <t>g</t>
  </si>
  <si>
    <t>Переходимо на крок Е</t>
  </si>
  <si>
    <t>Операція стискання</t>
  </si>
  <si>
    <t>Збіжності не досягнуто, починаємо третю ітерацію і переходимо на крок Б</t>
  </si>
  <si>
    <t>e</t>
  </si>
  <si>
    <t>a</t>
  </si>
  <si>
    <t>b</t>
  </si>
  <si>
    <r>
      <t>d</t>
    </r>
    <r>
      <rPr>
        <vertAlign val="subscript"/>
        <sz val="11"/>
        <color theme="1"/>
        <rFont val="Symbol"/>
        <family val="1"/>
        <charset val="2"/>
      </rPr>
      <t>1</t>
    </r>
  </si>
  <si>
    <r>
      <t>d</t>
    </r>
    <r>
      <rPr>
        <vertAlign val="subscript"/>
        <sz val="11"/>
        <color theme="1"/>
        <rFont val="Symbol"/>
        <family val="1"/>
        <charset val="2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</si>
  <si>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x</t>
    </r>
    <r>
      <rPr>
        <vertAlign val="superscript"/>
        <sz val="11"/>
        <color theme="1"/>
        <rFont val="Calibri"/>
        <family val="2"/>
        <charset val="204"/>
        <scheme val="minor"/>
      </rPr>
      <t>0</t>
    </r>
  </si>
  <si>
    <r>
      <t>x</t>
    </r>
    <r>
      <rPr>
        <vertAlign val="super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/>
    </r>
  </si>
  <si>
    <r>
      <t>x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</si>
  <si>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f(x</t>
    </r>
    <r>
      <rPr>
        <vertAlign val="super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charset val="204"/>
        <scheme val="minor"/>
      </rPr>
      <t>)</t>
    </r>
  </si>
  <si>
    <r>
      <t>f(x</t>
    </r>
    <r>
      <rPr>
        <vertAlign val="super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>)</t>
    </r>
  </si>
  <si>
    <r>
      <t>f(x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)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</si>
  <si>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</si>
  <si>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r>
      <t>f(x</t>
    </r>
    <r>
      <rPr>
        <vertAlign val="sub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charset val="204"/>
        <scheme val="minor"/>
      </rPr>
      <t>)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</si>
  <si>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r</t>
    </r>
  </si>
  <si>
    <r>
      <t>Значення функції в x</t>
    </r>
    <r>
      <rPr>
        <vertAlign val="subscript"/>
        <sz val="11"/>
        <color theme="1"/>
        <rFont val="Calibri"/>
        <family val="2"/>
        <charset val="204"/>
        <scheme val="minor"/>
      </rPr>
      <t>r</t>
    </r>
  </si>
  <si>
    <r>
      <t>f(x</t>
    </r>
    <r>
      <rPr>
        <vertAlign val="subscript"/>
        <sz val="11"/>
        <color theme="1"/>
        <rFont val="Calibri"/>
        <family val="2"/>
        <charset val="204"/>
        <scheme val="minor"/>
      </rPr>
      <t>r</t>
    </r>
    <r>
      <rPr>
        <sz val="11"/>
        <color theme="1"/>
        <rFont val="Calibri"/>
        <family val="2"/>
        <charset val="204"/>
        <scheme val="minor"/>
      </rPr>
      <t>)</t>
    </r>
  </si>
  <si>
    <r>
      <t>f</t>
    </r>
    <r>
      <rPr>
        <vertAlign val="subscript"/>
        <sz val="11"/>
        <color theme="1"/>
        <rFont val="Calibri"/>
        <family val="2"/>
        <charset val="204"/>
        <scheme val="minor"/>
      </rPr>
      <t>mean</t>
    </r>
  </si>
  <si>
    <r>
      <rPr>
        <sz val="11"/>
        <color theme="1"/>
        <rFont val="Symbol"/>
        <family val="1"/>
        <charset val="2"/>
      </rPr>
      <t>s</t>
    </r>
    <r>
      <rPr>
        <vertAlign val="superscript"/>
        <sz val="11"/>
        <color theme="1"/>
        <rFont val="Calibri"/>
        <family val="2"/>
        <charset val="204"/>
      </rPr>
      <t>2</t>
    </r>
  </si>
  <si>
    <t>s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</si>
  <si>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h</t>
    </r>
  </si>
  <si>
    <r>
      <t>f(x</t>
    </r>
    <r>
      <rPr>
        <vertAlign val="subscript"/>
        <sz val="11"/>
        <color theme="1"/>
        <rFont val="Calibri"/>
        <family val="2"/>
        <charset val="204"/>
        <scheme val="minor"/>
      </rPr>
      <t>h</t>
    </r>
    <r>
      <rPr>
        <sz val="11"/>
        <color theme="1"/>
        <rFont val="Calibri"/>
        <family val="2"/>
        <charset val="204"/>
        <scheme val="minor"/>
      </rPr>
      <t>)</t>
    </r>
  </si>
  <si>
    <t>Д2</t>
  </si>
  <si>
    <r>
      <t>Г. Операція відбиття (точки x</t>
    </r>
    <r>
      <rPr>
        <vertAlign val="subscript"/>
        <sz val="11"/>
        <color theme="1"/>
        <rFont val="Calibri"/>
        <family val="2"/>
        <charset val="204"/>
        <scheme val="minor"/>
      </rPr>
      <t>h</t>
    </r>
    <r>
      <rPr>
        <sz val="11"/>
        <color theme="1"/>
        <rFont val="Calibri"/>
        <family val="2"/>
        <charset val="204"/>
        <scheme val="minor"/>
      </rPr>
      <t xml:space="preserve"> відносно точки x</t>
    </r>
    <r>
      <rPr>
        <vertAlign val="sub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charset val="204"/>
        <scheme val="minor"/>
      </rPr>
      <t>)</t>
    </r>
  </si>
  <si>
    <t>Е1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</si>
  <si>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c</t>
    </r>
  </si>
  <si>
    <r>
      <t>Значення функції в x</t>
    </r>
    <r>
      <rPr>
        <vertAlign val="subscript"/>
        <sz val="11"/>
        <color theme="1"/>
        <rFont val="Calibri"/>
        <family val="2"/>
        <charset val="204"/>
        <scheme val="minor"/>
      </rPr>
      <t>c</t>
    </r>
  </si>
  <si>
    <r>
      <t>f(x</t>
    </r>
    <r>
      <rPr>
        <vertAlign val="subscript"/>
        <sz val="11"/>
        <color theme="1"/>
        <rFont val="Calibri"/>
        <family val="2"/>
        <charset val="204"/>
        <scheme val="minor"/>
      </rPr>
      <t>c</t>
    </r>
    <r>
      <rPr>
        <sz val="11"/>
        <color theme="1"/>
        <rFont val="Calibri"/>
        <family val="2"/>
        <charset val="204"/>
        <scheme val="minor"/>
      </rPr>
      <t>)</t>
    </r>
  </si>
  <si>
    <r>
      <t>f(x</t>
    </r>
    <r>
      <rPr>
        <vertAlign val="subscript"/>
        <sz val="11"/>
        <color theme="1"/>
        <rFont val="Calibri"/>
        <family val="2"/>
        <charset val="204"/>
        <scheme val="minor"/>
      </rPr>
      <t>l</t>
    </r>
    <r>
      <rPr>
        <sz val="11"/>
        <color theme="1"/>
        <rFont val="Calibri"/>
        <family val="2"/>
        <charset val="204"/>
        <scheme val="minor"/>
      </rPr>
      <t>)</t>
    </r>
  </si>
  <si>
    <r>
      <t>f(x</t>
    </r>
    <r>
      <rPr>
        <vertAlign val="subscript"/>
        <sz val="11"/>
        <color theme="1"/>
        <rFont val="Calibri"/>
        <family val="2"/>
        <charset val="204"/>
        <scheme val="minor"/>
      </rPr>
      <t>g</t>
    </r>
    <r>
      <rPr>
        <sz val="11"/>
        <color theme="1"/>
        <rFont val="Calibri"/>
        <family val="2"/>
        <charset val="204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</si>
</sst>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rgb="FF4169E0"/>
      <name val="Arial"/>
      <family val="2"/>
      <charset val="204"/>
    </font>
    <font>
      <sz val="10"/>
      <name val="Arial Cyr"/>
      <charset val="204"/>
    </font>
    <font>
      <b/>
      <sz val="11"/>
      <color rgb="FFFF0000"/>
      <name val="Calibri"/>
      <family val="2"/>
      <charset val="204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  <charset val="204"/>
    </font>
    <font>
      <vertAlign val="subscript"/>
      <sz val="11"/>
      <color theme="1"/>
      <name val="Symbol"/>
      <family val="1"/>
      <charset val="2"/>
    </font>
    <font>
      <vertAlign val="sub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double">
        <color rgb="FF808080"/>
      </left>
      <right/>
      <top style="double">
        <color rgb="FF808080"/>
      </top>
      <bottom/>
      <diagonal/>
    </border>
    <border>
      <left/>
      <right style="double">
        <color rgb="FF808080"/>
      </right>
      <top style="double">
        <color rgb="FF808080"/>
      </top>
      <bottom/>
      <diagonal/>
    </border>
    <border>
      <left style="double">
        <color rgb="FF808080"/>
      </left>
      <right/>
      <top/>
      <bottom/>
      <diagonal/>
    </border>
    <border>
      <left/>
      <right style="double">
        <color rgb="FF80808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5">
    <xf numFmtId="0" fontId="0" fillId="0" borderId="0" xfId="0"/>
    <xf numFmtId="0" fontId="2" fillId="0" borderId="1" xfId="1" applyFont="1" applyBorder="1"/>
    <xf numFmtId="0" fontId="2" fillId="0" borderId="2" xfId="1" applyFont="1" applyBorder="1"/>
    <xf numFmtId="0" fontId="1" fillId="0" borderId="0" xfId="1"/>
    <xf numFmtId="0" fontId="2" fillId="0" borderId="3" xfId="1" applyFont="1" applyBorder="1"/>
    <xf numFmtId="0" fontId="2" fillId="0" borderId="4" xfId="1" applyFont="1" applyBorder="1"/>
    <xf numFmtId="0" fontId="1" fillId="0" borderId="0" xfId="1" applyAlignment="1">
      <alignment horizontal="center"/>
    </xf>
    <xf numFmtId="0" fontId="1" fillId="0" borderId="0" xfId="1" quotePrefix="1" applyAlignment="1">
      <alignment horizontal="center"/>
    </xf>
    <xf numFmtId="0" fontId="0" fillId="0" borderId="5" xfId="0" applyBorder="1"/>
    <xf numFmtId="0" fontId="5" fillId="0" borderId="5" xfId="0" applyFont="1" applyBorder="1"/>
    <xf numFmtId="0" fontId="4" fillId="0" borderId="5" xfId="0" applyFont="1" applyBorder="1"/>
    <xf numFmtId="0" fontId="0" fillId="0" borderId="5" xfId="0" applyBorder="1" applyAlignment="1">
      <alignment wrapText="1"/>
    </xf>
    <xf numFmtId="0" fontId="0" fillId="0" borderId="5" xfId="0" applyFill="1" applyBorder="1"/>
    <xf numFmtId="0" fontId="0" fillId="2" borderId="5" xfId="0" applyFill="1" applyBorder="1"/>
    <xf numFmtId="0" fontId="6" fillId="0" borderId="5" xfId="0" applyFont="1" applyBorder="1"/>
    <xf numFmtId="0" fontId="0" fillId="0" borderId="9" xfId="0" applyFill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0" fillId="0" borderId="10" xfId="0" applyFill="1" applyBorder="1"/>
    <xf numFmtId="0" fontId="0" fillId="0" borderId="0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15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D4" sqref="D4"/>
    </sheetView>
  </sheetViews>
  <sheetFormatPr defaultRowHeight="15" x14ac:dyDescent="0.25"/>
  <cols>
    <col min="1" max="1" width="8.140625" style="3" customWidth="1"/>
    <col min="2" max="2" width="10.85546875" style="3" customWidth="1"/>
    <col min="3" max="3" width="16" style="3" customWidth="1"/>
    <col min="4" max="4" width="5" style="3" customWidth="1"/>
    <col min="5" max="5" width="10.28515625" style="3" bestFit="1" customWidth="1"/>
    <col min="6" max="6" width="5.7109375" style="3" customWidth="1"/>
    <col min="7" max="7" width="8.5703125" style="3" bestFit="1" customWidth="1"/>
    <col min="8" max="16384" width="9.140625" style="3"/>
  </cols>
  <sheetData>
    <row r="1" spans="1:5" ht="15.75" thickTop="1" x14ac:dyDescent="0.25">
      <c r="A1" s="1" t="s">
        <v>0</v>
      </c>
      <c r="B1" s="2" t="s">
        <v>1</v>
      </c>
      <c r="C1" s="2"/>
    </row>
    <row r="2" spans="1:5" x14ac:dyDescent="0.25">
      <c r="A2" s="4">
        <v>1</v>
      </c>
      <c r="B2" s="5">
        <v>2</v>
      </c>
    </row>
    <row r="3" spans="1:5" x14ac:dyDescent="0.25">
      <c r="A3" s="3" t="s">
        <v>2</v>
      </c>
    </row>
    <row r="4" spans="1:5" x14ac:dyDescent="0.25">
      <c r="A4" s="6">
        <f>(1-A2)^2</f>
        <v>0</v>
      </c>
      <c r="B4" s="6">
        <f>(2-B2)^2</f>
        <v>0</v>
      </c>
      <c r="C4" s="7">
        <f>SUM(A4:B4)</f>
        <v>0</v>
      </c>
      <c r="E4" s="3" t="s">
        <v>3</v>
      </c>
    </row>
  </sheetData>
  <sheetProtection formatCells="0" formatColumns="0" formatRows="0" insertColumns="0" insertRows="0" insertHyperlinks="0" deleteColumns="0" deleteRows="0" sort="0" autoFilter="0" pivotTables="0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63"/>
  <sheetViews>
    <sheetView tabSelected="1" workbookViewId="0">
      <selection activeCell="C26" sqref="C26"/>
    </sheetView>
  </sheetViews>
  <sheetFormatPr defaultRowHeight="15" x14ac:dyDescent="0.25"/>
  <cols>
    <col min="1" max="1" width="71.28515625" bestFit="1" customWidth="1"/>
    <col min="2" max="2" width="12.7109375" bestFit="1" customWidth="1"/>
    <col min="3" max="3" width="12" bestFit="1" customWidth="1"/>
    <col min="4" max="4" width="11.5703125" bestFit="1" customWidth="1"/>
  </cols>
  <sheetData>
    <row r="1" spans="1:4" x14ac:dyDescent="0.25">
      <c r="A1" s="8" t="s">
        <v>4</v>
      </c>
      <c r="B1" s="8">
        <v>2</v>
      </c>
      <c r="C1" s="8"/>
      <c r="D1" s="8"/>
    </row>
    <row r="2" spans="1:4" x14ac:dyDescent="0.25">
      <c r="A2" s="8" t="s">
        <v>5</v>
      </c>
      <c r="B2" s="8">
        <v>2</v>
      </c>
      <c r="C2" s="8"/>
      <c r="D2" s="8"/>
    </row>
    <row r="3" spans="1:4" x14ac:dyDescent="0.25">
      <c r="A3" s="9" t="s">
        <v>22</v>
      </c>
      <c r="B3" s="8">
        <v>0.01</v>
      </c>
      <c r="C3" s="8"/>
      <c r="D3" s="8"/>
    </row>
    <row r="4" spans="1:4" x14ac:dyDescent="0.25">
      <c r="A4" s="9" t="s">
        <v>23</v>
      </c>
      <c r="B4" s="8">
        <v>1</v>
      </c>
      <c r="C4" s="8"/>
      <c r="D4" s="8"/>
    </row>
    <row r="5" spans="1:4" x14ac:dyDescent="0.25">
      <c r="A5" s="9" t="s">
        <v>24</v>
      </c>
      <c r="B5" s="8">
        <v>0.5</v>
      </c>
      <c r="C5" s="8"/>
      <c r="D5" s="8"/>
    </row>
    <row r="6" spans="1:4" x14ac:dyDescent="0.25">
      <c r="A6" s="9" t="s">
        <v>18</v>
      </c>
      <c r="B6" s="8">
        <v>2</v>
      </c>
      <c r="C6" s="8"/>
      <c r="D6" s="8"/>
    </row>
    <row r="7" spans="1:4" x14ac:dyDescent="0.25">
      <c r="A7" s="21" t="s">
        <v>6</v>
      </c>
      <c r="B7" s="21"/>
      <c r="C7" s="21"/>
      <c r="D7" s="8"/>
    </row>
    <row r="8" spans="1:4" ht="16.5" x14ac:dyDescent="0.3">
      <c r="A8" s="9" t="s">
        <v>25</v>
      </c>
      <c r="B8" s="8">
        <f>$B$2*(SQRT($B$1+1)+$B$1-1)/($B$1*SQRT(2))</f>
        <v>1.9318516525781364</v>
      </c>
      <c r="C8" s="8"/>
      <c r="D8" s="8"/>
    </row>
    <row r="9" spans="1:4" ht="16.5" x14ac:dyDescent="0.3">
      <c r="A9" s="9" t="s">
        <v>26</v>
      </c>
      <c r="B9" s="8">
        <f>$B$2*(SQRT($B$1+1)-1)/($B$1*SQRT(2))</f>
        <v>0.51763809020504137</v>
      </c>
      <c r="C9" s="8"/>
      <c r="D9" s="8"/>
    </row>
    <row r="10" spans="1:4" x14ac:dyDescent="0.25">
      <c r="A10" s="21" t="s">
        <v>7</v>
      </c>
      <c r="B10" s="21"/>
      <c r="C10" s="21"/>
      <c r="D10" s="8"/>
    </row>
    <row r="11" spans="1:4" ht="17.25" x14ac:dyDescent="0.25">
      <c r="A11" s="8" t="s">
        <v>27</v>
      </c>
      <c r="B11" s="8">
        <v>0</v>
      </c>
      <c r="C11" s="8">
        <v>0</v>
      </c>
      <c r="D11" s="8" t="str">
        <f>C17</f>
        <v>h</v>
      </c>
    </row>
    <row r="12" spans="1:4" ht="17.25" x14ac:dyDescent="0.25">
      <c r="A12" s="8" t="s">
        <v>28</v>
      </c>
      <c r="B12" s="8">
        <f>B11+$B$9</f>
        <v>0.51763809020504137</v>
      </c>
      <c r="C12" s="8">
        <f>C11+$B$8</f>
        <v>1.9318516525781364</v>
      </c>
      <c r="D12" s="8" t="str">
        <f t="shared" ref="D12:D13" si="0">C18</f>
        <v>l</v>
      </c>
    </row>
    <row r="13" spans="1:4" ht="17.25" x14ac:dyDescent="0.25">
      <c r="A13" s="8" t="s">
        <v>29</v>
      </c>
      <c r="B13" s="8">
        <f>B11+$B$8</f>
        <v>1.9318516525781364</v>
      </c>
      <c r="C13" s="8">
        <f>C11+$B$9</f>
        <v>0.51763809020504137</v>
      </c>
      <c r="D13" s="8" t="str">
        <f t="shared" si="0"/>
        <v>g</v>
      </c>
    </row>
    <row r="14" spans="1:4" x14ac:dyDescent="0.25">
      <c r="A14" s="8"/>
      <c r="B14" s="8"/>
      <c r="C14" s="8"/>
      <c r="D14" s="8"/>
    </row>
    <row r="15" spans="1:4" x14ac:dyDescent="0.25">
      <c r="A15" s="10" t="s">
        <v>8</v>
      </c>
      <c r="B15" s="8"/>
      <c r="C15" s="8"/>
      <c r="D15" s="8"/>
    </row>
    <row r="16" spans="1:4" x14ac:dyDescent="0.25">
      <c r="A16" s="21" t="s">
        <v>9</v>
      </c>
      <c r="B16" s="21"/>
      <c r="C16" s="21"/>
      <c r="D16" s="8"/>
    </row>
    <row r="17" spans="1:5" ht="17.25" x14ac:dyDescent="0.25">
      <c r="A17" s="8" t="s">
        <v>30</v>
      </c>
      <c r="B17" s="8">
        <f>(1-B11)^2+(2-C11)^2</f>
        <v>5</v>
      </c>
      <c r="C17" s="8" t="str">
        <f>IF(B17=MAX($B$17:$B$19),"h",IF(B17=MIN($B$17:$B$19),"l","g"))</f>
        <v>h</v>
      </c>
      <c r="D17" s="8"/>
    </row>
    <row r="18" spans="1:5" ht="17.25" x14ac:dyDescent="0.25">
      <c r="A18" s="8" t="s">
        <v>31</v>
      </c>
      <c r="B18" s="8">
        <f>(1-B12)^2+(2-C12)^2</f>
        <v>0.23731720927737085</v>
      </c>
      <c r="C18" s="8" t="str">
        <f t="shared" ref="C18:C19" si="1">IF(B18=MAX($B$17:$B$19),"h",IF(B18=MIN($B$17:$B$19),"l","g"))</f>
        <v>l</v>
      </c>
      <c r="D18" s="8"/>
    </row>
    <row r="19" spans="1:5" ht="17.25" x14ac:dyDescent="0.25">
      <c r="A19" s="8" t="s">
        <v>32</v>
      </c>
      <c r="B19" s="8">
        <f>(1-B13)^2+(2-C13)^2</f>
        <v>3.0657443340235608</v>
      </c>
      <c r="C19" s="8" t="str">
        <f t="shared" si="1"/>
        <v>g</v>
      </c>
      <c r="D19" s="8"/>
    </row>
    <row r="20" spans="1:5" x14ac:dyDescent="0.25">
      <c r="A20" s="22" t="s">
        <v>11</v>
      </c>
      <c r="B20" s="23"/>
      <c r="C20" s="24"/>
      <c r="D20" s="8"/>
    </row>
    <row r="21" spans="1:5" ht="18" x14ac:dyDescent="0.35">
      <c r="A21" s="8" t="s">
        <v>33</v>
      </c>
      <c r="B21" s="8">
        <f>(B13+B12)/2</f>
        <v>1.2247448713915889</v>
      </c>
      <c r="C21" s="8">
        <f>(C13+C12)/2</f>
        <v>1.2247448713915889</v>
      </c>
      <c r="D21" s="8"/>
    </row>
    <row r="22" spans="1:5" x14ac:dyDescent="0.25">
      <c r="A22" s="8" t="s">
        <v>10</v>
      </c>
      <c r="B22" s="8"/>
      <c r="C22" s="8"/>
      <c r="D22" s="8"/>
    </row>
    <row r="23" spans="1:5" ht="18" x14ac:dyDescent="0.35">
      <c r="A23" s="8" t="s">
        <v>34</v>
      </c>
      <c r="B23" s="8">
        <f>(1-B21)^2+(2-C21)^2</f>
        <v>0.65153077165046591</v>
      </c>
      <c r="C23" s="8"/>
      <c r="D23" s="8"/>
    </row>
    <row r="24" spans="1:5" ht="18" x14ac:dyDescent="0.35">
      <c r="A24" s="21" t="s">
        <v>44</v>
      </c>
      <c r="B24" s="21"/>
      <c r="C24" s="21"/>
      <c r="D24" s="8"/>
    </row>
    <row r="25" spans="1:5" ht="18" x14ac:dyDescent="0.35">
      <c r="A25" s="8" t="s">
        <v>35</v>
      </c>
      <c r="B25" s="13">
        <f>(1+$B$4)*B21-$B$4*B11</f>
        <v>2.4494897427831779</v>
      </c>
      <c r="C25" s="13">
        <f>(1+$B$4)*C21-$B$4*C11</f>
        <v>2.4494897427831779</v>
      </c>
      <c r="D25" s="8" t="s">
        <v>15</v>
      </c>
      <c r="E25" t="s">
        <v>41</v>
      </c>
    </row>
    <row r="26" spans="1:5" ht="18" x14ac:dyDescent="0.35">
      <c r="A26" s="8" t="s">
        <v>36</v>
      </c>
      <c r="B26" s="8"/>
      <c r="C26" s="8"/>
      <c r="D26" s="8"/>
    </row>
    <row r="27" spans="1:5" ht="18" x14ac:dyDescent="0.35">
      <c r="A27" s="8" t="s">
        <v>37</v>
      </c>
      <c r="B27" s="16">
        <f>(1-B25)^2+(2-C25)^2</f>
        <v>2.3030615433009309</v>
      </c>
      <c r="C27" s="8" t="s">
        <v>12</v>
      </c>
      <c r="D27" s="8" t="s">
        <v>49</v>
      </c>
      <c r="E27" s="15" t="s">
        <v>43</v>
      </c>
    </row>
    <row r="28" spans="1:5" ht="18" x14ac:dyDescent="0.35">
      <c r="A28" s="8"/>
      <c r="B28" s="8"/>
      <c r="C28" s="8" t="s">
        <v>13</v>
      </c>
      <c r="D28" s="11" t="s">
        <v>50</v>
      </c>
    </row>
    <row r="29" spans="1:5" x14ac:dyDescent="0.25">
      <c r="A29" s="22" t="s">
        <v>14</v>
      </c>
      <c r="B29" s="23"/>
      <c r="C29" s="24"/>
      <c r="D29" s="8"/>
    </row>
    <row r="30" spans="1:5" ht="18" x14ac:dyDescent="0.35">
      <c r="A30" s="8" t="s">
        <v>38</v>
      </c>
      <c r="B30" s="8">
        <f>(B18+B19+B27)/(B1+1)</f>
        <v>1.8687076955339543</v>
      </c>
      <c r="C30" s="8"/>
      <c r="D30" s="8"/>
    </row>
    <row r="31" spans="1:5" ht="17.25" x14ac:dyDescent="0.25">
      <c r="A31" s="14" t="s">
        <v>39</v>
      </c>
      <c r="B31" s="8">
        <f>((B18-$B$30)^2+(B19-$B$30)^2+(B27-$B$30)^2)/($B$1+1)</f>
        <v>1.4276649658683223</v>
      </c>
      <c r="C31" s="8"/>
      <c r="D31" s="8"/>
    </row>
    <row r="32" spans="1:5" x14ac:dyDescent="0.25">
      <c r="A32" s="9" t="s">
        <v>40</v>
      </c>
      <c r="B32" s="8">
        <f>SQRT(B31)</f>
        <v>1.1948493486077323</v>
      </c>
      <c r="C32" s="8" t="s">
        <v>12</v>
      </c>
      <c r="D32" s="9" t="s">
        <v>22</v>
      </c>
    </row>
    <row r="33" spans="1:4" x14ac:dyDescent="0.25">
      <c r="A33" s="21" t="s">
        <v>16</v>
      </c>
      <c r="B33" s="21"/>
      <c r="C33" s="21"/>
      <c r="D33" s="8"/>
    </row>
    <row r="34" spans="1:4" x14ac:dyDescent="0.25">
      <c r="A34" s="17"/>
      <c r="B34" s="17"/>
      <c r="C34" s="17"/>
      <c r="D34" s="17"/>
    </row>
    <row r="35" spans="1:4" ht="17.25" x14ac:dyDescent="0.25">
      <c r="A35" s="8" t="s">
        <v>27</v>
      </c>
      <c r="B35" s="8">
        <f>B25</f>
        <v>2.4494897427831779</v>
      </c>
      <c r="C35" s="8">
        <f>C25</f>
        <v>2.4494897427831779</v>
      </c>
      <c r="D35" s="8" t="str">
        <f>C40</f>
        <v>g</v>
      </c>
    </row>
    <row r="36" spans="1:4" ht="17.25" x14ac:dyDescent="0.25">
      <c r="A36" s="8" t="s">
        <v>28</v>
      </c>
      <c r="B36" s="8">
        <f>B12</f>
        <v>0.51763809020504137</v>
      </c>
      <c r="C36" s="8">
        <f>C12</f>
        <v>1.9318516525781364</v>
      </c>
      <c r="D36" s="8" t="str">
        <f t="shared" ref="D36:D37" si="2">C41</f>
        <v>l</v>
      </c>
    </row>
    <row r="37" spans="1:4" ht="17.25" x14ac:dyDescent="0.25">
      <c r="A37" s="8" t="s">
        <v>29</v>
      </c>
      <c r="B37" s="8">
        <f>B13</f>
        <v>1.9318516525781364</v>
      </c>
      <c r="C37" s="8">
        <f>C13</f>
        <v>0.51763809020504137</v>
      </c>
      <c r="D37" s="8" t="str">
        <f t="shared" si="2"/>
        <v>h</v>
      </c>
    </row>
    <row r="38" spans="1:4" x14ac:dyDescent="0.25">
      <c r="A38" s="10" t="s">
        <v>17</v>
      </c>
      <c r="B38" s="8"/>
      <c r="C38" s="8"/>
      <c r="D38" s="8"/>
    </row>
    <row r="39" spans="1:4" x14ac:dyDescent="0.25">
      <c r="A39" s="21" t="s">
        <v>9</v>
      </c>
      <c r="B39" s="21"/>
      <c r="C39" s="21"/>
      <c r="D39" s="8"/>
    </row>
    <row r="40" spans="1:4" ht="17.25" x14ac:dyDescent="0.25">
      <c r="A40" s="8" t="s">
        <v>30</v>
      </c>
      <c r="B40" s="8">
        <f>(1-B35)^2+(2-C35)^2</f>
        <v>2.3030615433009309</v>
      </c>
      <c r="C40" s="8" t="str">
        <f>IF(B40=MAX($B$17:$B$19),"h",IF(B40=MIN($B$17:$B$19),"l","g"))</f>
        <v>g</v>
      </c>
      <c r="D40" s="8"/>
    </row>
    <row r="41" spans="1:4" ht="17.25" x14ac:dyDescent="0.25">
      <c r="A41" s="8" t="s">
        <v>31</v>
      </c>
      <c r="B41" s="8">
        <f t="shared" ref="B41:B42" si="3">(1-B36)^2+(2-C36)^2</f>
        <v>0.23731720927737085</v>
      </c>
      <c r="C41" s="8" t="str">
        <f t="shared" ref="C41" si="4">IF(B41=MAX($B$17:$B$19),"h",IF(B41=MIN($B$17:$B$19),"l","g"))</f>
        <v>l</v>
      </c>
      <c r="D41" s="8"/>
    </row>
    <row r="42" spans="1:4" ht="17.25" x14ac:dyDescent="0.25">
      <c r="A42" s="8" t="s">
        <v>32</v>
      </c>
      <c r="B42" s="8">
        <f t="shared" si="3"/>
        <v>3.0657443340235608</v>
      </c>
      <c r="C42" s="8" t="s">
        <v>5</v>
      </c>
      <c r="D42" s="8"/>
    </row>
    <row r="43" spans="1:4" x14ac:dyDescent="0.25">
      <c r="A43" s="21" t="s">
        <v>11</v>
      </c>
      <c r="B43" s="21"/>
      <c r="C43" s="21"/>
      <c r="D43" s="8"/>
    </row>
    <row r="44" spans="1:4" ht="18" x14ac:dyDescent="0.35">
      <c r="A44" s="8" t="s">
        <v>33</v>
      </c>
      <c r="B44" s="8">
        <f>(B35+B36)/2</f>
        <v>1.4835639164941097</v>
      </c>
      <c r="C44" s="8">
        <f>(C35+C36)/2</f>
        <v>2.1906706976806571</v>
      </c>
      <c r="D44" s="8"/>
    </row>
    <row r="45" spans="1:4" x14ac:dyDescent="0.25">
      <c r="A45" s="8" t="s">
        <v>10</v>
      </c>
      <c r="B45" s="8"/>
      <c r="C45" s="8"/>
      <c r="D45" s="8"/>
    </row>
    <row r="46" spans="1:4" ht="18" x14ac:dyDescent="0.35">
      <c r="A46" s="8" t="s">
        <v>34</v>
      </c>
      <c r="B46" s="8">
        <f>(1-B44)^2+(2-C44)^2</f>
        <v>0.27018937628915085</v>
      </c>
      <c r="C46" s="8"/>
      <c r="D46" s="8"/>
    </row>
    <row r="47" spans="1:4" ht="18" x14ac:dyDescent="0.35">
      <c r="A47" s="21" t="s">
        <v>44</v>
      </c>
      <c r="B47" s="21"/>
      <c r="C47" s="21"/>
      <c r="D47" s="8"/>
    </row>
    <row r="48" spans="1:4" ht="18" x14ac:dyDescent="0.35">
      <c r="A48" s="8" t="s">
        <v>35</v>
      </c>
      <c r="B48" s="8">
        <f>(1+$B$4)*B44-$B$4*B37</f>
        <v>1.035276180410083</v>
      </c>
      <c r="C48" s="8">
        <f>(1+$B$4)*C44-$B$4*C37</f>
        <v>3.8637033051562728</v>
      </c>
      <c r="D48" s="8"/>
    </row>
    <row r="49" spans="1:6" ht="18" x14ac:dyDescent="0.35">
      <c r="A49" s="8" t="s">
        <v>36</v>
      </c>
      <c r="B49" s="8"/>
      <c r="C49" s="8"/>
      <c r="D49" s="8"/>
    </row>
    <row r="50" spans="1:6" ht="18" x14ac:dyDescent="0.35">
      <c r="A50" s="8" t="s">
        <v>37</v>
      </c>
      <c r="B50" s="18">
        <f>(1-B48)^2+(2-C48)^2</f>
        <v>3.4746344185547402</v>
      </c>
      <c r="C50" s="8" t="s">
        <v>12</v>
      </c>
      <c r="D50" s="8" t="s">
        <v>42</v>
      </c>
      <c r="E50" s="19" t="s">
        <v>45</v>
      </c>
      <c r="F50" s="20"/>
    </row>
    <row r="51" spans="1:6" x14ac:dyDescent="0.25">
      <c r="A51" s="8"/>
      <c r="B51" s="8"/>
      <c r="C51" s="8"/>
      <c r="D51" s="11"/>
    </row>
    <row r="52" spans="1:6" x14ac:dyDescent="0.25">
      <c r="A52" s="21" t="s">
        <v>19</v>
      </c>
      <c r="B52" s="21"/>
      <c r="C52" s="21"/>
      <c r="D52" s="11"/>
    </row>
    <row r="53" spans="1:6" x14ac:dyDescent="0.25">
      <c r="A53" s="8" t="s">
        <v>20</v>
      </c>
      <c r="B53" s="8"/>
      <c r="C53" s="8"/>
      <c r="D53" s="11"/>
    </row>
    <row r="54" spans="1:6" ht="18" x14ac:dyDescent="0.35">
      <c r="A54" s="8" t="s">
        <v>46</v>
      </c>
      <c r="B54" s="13">
        <f>$B$5*B37+(1-$B$5)*B44</f>
        <v>1.707707784536123</v>
      </c>
      <c r="C54" s="13">
        <f>$B$5*C37+(1-$B$5)*C44</f>
        <v>1.3541543939428493</v>
      </c>
      <c r="D54" s="8" t="s">
        <v>15</v>
      </c>
      <c r="E54" t="s">
        <v>41</v>
      </c>
    </row>
    <row r="55" spans="1:6" ht="18" x14ac:dyDescent="0.35">
      <c r="A55" s="8" t="s">
        <v>47</v>
      </c>
      <c r="B55" s="8"/>
      <c r="C55" s="8"/>
      <c r="D55" s="11"/>
    </row>
    <row r="56" spans="1:6" ht="18" x14ac:dyDescent="0.35">
      <c r="A56" s="8" t="s">
        <v>48</v>
      </c>
      <c r="B56" s="16">
        <f>(1-B54)^2+(2-C54)^2</f>
        <v>0.91796685515635579</v>
      </c>
      <c r="C56" s="8"/>
      <c r="D56" s="8"/>
    </row>
    <row r="57" spans="1:6" x14ac:dyDescent="0.25">
      <c r="A57" s="8"/>
      <c r="B57" s="12"/>
      <c r="C57" s="8"/>
      <c r="D57" s="8"/>
    </row>
    <row r="58" spans="1:6" x14ac:dyDescent="0.25">
      <c r="A58" s="8" t="s">
        <v>14</v>
      </c>
      <c r="B58" s="8"/>
      <c r="C58" s="8"/>
      <c r="D58" s="8"/>
    </row>
    <row r="59" spans="1:6" ht="18" x14ac:dyDescent="0.35">
      <c r="A59" s="8" t="s">
        <v>38</v>
      </c>
      <c r="B59" s="8">
        <f>(B40+B41+B56)/($B$1+1)</f>
        <v>1.1527818692448859</v>
      </c>
      <c r="C59" s="8"/>
      <c r="D59" s="8"/>
    </row>
    <row r="60" spans="1:6" ht="17.25" x14ac:dyDescent="0.25">
      <c r="A60" s="14" t="s">
        <v>39</v>
      </c>
      <c r="B60" s="8">
        <f>((B40-B59)^2+(B41-B59)^2+(B56-B59)^2)/($B$1+1)</f>
        <v>0.73878565434577181</v>
      </c>
      <c r="C60" s="8"/>
      <c r="D60" s="8"/>
    </row>
    <row r="61" spans="1:6" x14ac:dyDescent="0.25">
      <c r="A61" s="9" t="s">
        <v>40</v>
      </c>
      <c r="B61" s="8">
        <f>SQRT(B60)</f>
        <v>0.85952641282613984</v>
      </c>
      <c r="C61" s="8" t="s">
        <v>12</v>
      </c>
      <c r="D61" s="9" t="s">
        <v>22</v>
      </c>
    </row>
    <row r="62" spans="1:6" x14ac:dyDescent="0.25">
      <c r="A62" s="21" t="s">
        <v>21</v>
      </c>
      <c r="B62" s="21"/>
      <c r="C62" s="21"/>
      <c r="D62" s="8"/>
    </row>
    <row r="63" spans="1:6" x14ac:dyDescent="0.25">
      <c r="A63" s="17"/>
      <c r="B63" s="17"/>
      <c r="C63" s="17"/>
      <c r="D63" s="17"/>
    </row>
  </sheetData>
  <mergeCells count="12">
    <mergeCell ref="A52:C52"/>
    <mergeCell ref="A62:C62"/>
    <mergeCell ref="A7:C7"/>
    <mergeCell ref="A10:C10"/>
    <mergeCell ref="A33:C33"/>
    <mergeCell ref="A39:C39"/>
    <mergeCell ref="A47:C47"/>
    <mergeCell ref="A43:C43"/>
    <mergeCell ref="A24:C24"/>
    <mergeCell ref="A20:C20"/>
    <mergeCell ref="A29:C29"/>
    <mergeCell ref="A16:C16"/>
  </mergeCells>
  <conditionalFormatting sqref="B11:D11">
    <cfRule type="expression" dxfId="14" priority="67">
      <formula>$D11="g"</formula>
    </cfRule>
    <cfRule type="expression" dxfId="13" priority="68">
      <formula>$D11="l"</formula>
    </cfRule>
    <cfRule type="expression" dxfId="12" priority="69">
      <formula>$D11="h"</formula>
    </cfRule>
  </conditionalFormatting>
  <conditionalFormatting sqref="B12:D13">
    <cfRule type="expression" dxfId="11" priority="61">
      <formula>$D12="g"</formula>
    </cfRule>
    <cfRule type="expression" dxfId="10" priority="62">
      <formula>$D12="l"</formula>
    </cfRule>
    <cfRule type="expression" dxfId="9" priority="63">
      <formula>$D12="h"</formula>
    </cfRule>
  </conditionalFormatting>
  <conditionalFormatting sqref="B35:D37">
    <cfRule type="expression" dxfId="8" priority="58">
      <formula>$D35="g"</formula>
    </cfRule>
    <cfRule type="expression" dxfId="7" priority="59">
      <formula>$D35="l"</formula>
    </cfRule>
    <cfRule type="expression" dxfId="6" priority="60">
      <formula>$D35="h"</formula>
    </cfRule>
  </conditionalFormatting>
  <conditionalFormatting sqref="B17:C17">
    <cfRule type="expression" dxfId="5" priority="40">
      <formula>$C17="g"</formula>
    </cfRule>
    <cfRule type="expression" dxfId="4" priority="41">
      <formula>$C17="l"</formula>
    </cfRule>
    <cfRule type="expression" priority="42">
      <formula>$C17="h"</formula>
    </cfRule>
  </conditionalFormatting>
  <conditionalFormatting sqref="B18:C19">
    <cfRule type="expression" dxfId="3" priority="37">
      <formula>$C18="g"</formula>
    </cfRule>
    <cfRule type="expression" dxfId="2" priority="38">
      <formula>$C18="l"</formula>
    </cfRule>
    <cfRule type="expression" priority="39">
      <formula>$C18="h"</formula>
    </cfRule>
  </conditionalFormatting>
  <conditionalFormatting sqref="B40:C42">
    <cfRule type="expression" dxfId="1" priority="34">
      <formula>$C40="g"</formula>
    </cfRule>
    <cfRule type="expression" dxfId="0" priority="35">
      <formula>$C40="l"</formula>
    </cfRule>
    <cfRule type="expression" priority="36">
      <formula>$C40="h"</formula>
    </cfRule>
  </conditionalFormatting>
  <pageMargins left="0.51181102362204722" right="0.51181102362204722" top="0.55118110236220474" bottom="0.55118110236220474" header="0.31496062992125984" footer="0.31496062992125984"/>
  <pageSetup paperSize="9" scale="58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LW7-example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</dc:creator>
  <cp:lastModifiedBy>Sana</cp:lastModifiedBy>
  <cp:lastPrinted>2018-03-01T12:30:28Z</cp:lastPrinted>
  <dcterms:created xsi:type="dcterms:W3CDTF">2018-02-14T21:11:10Z</dcterms:created>
  <dcterms:modified xsi:type="dcterms:W3CDTF">2021-03-15T19:12:52Z</dcterms:modified>
</cp:coreProperties>
</file>